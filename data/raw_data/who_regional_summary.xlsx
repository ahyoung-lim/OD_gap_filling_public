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youngLim\Dropbox\WORK\OpenDengue\OD_gap_filling\"/>
    </mc:Choice>
  </mc:AlternateContent>
  <xr:revisionPtr revIDLastSave="0" documentId="13_ncr:1_{F2146209-FB38-4948-B9D7-D56D42130D8B}" xr6:coauthVersionLast="47" xr6:coauthVersionMax="47" xr10:uidLastSave="{00000000-0000-0000-0000-000000000000}"/>
  <bookViews>
    <workbookView xWindow="885" yWindow="1410" windowWidth="21600" windowHeight="14145" xr2:uid="{B1C38805-4430-40D9-9F0F-E2E153080998}"/>
  </bookViews>
  <sheets>
    <sheet name="Sheet1" sheetId="1" r:id="rId1"/>
    <sheet name="Sheet2" sheetId="2" r:id="rId2"/>
    <sheet name="Sheet4" sheetId="4" r:id="rId3"/>
    <sheet name="Sheet3" sheetId="5" r:id="rId4"/>
  </sheets>
  <definedNames>
    <definedName name="_xlnm._FilterDatabase" localSheetId="0" hidden="1">Sheet1!$A$1:$D$53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5" i="1"/>
</calcChain>
</file>

<file path=xl/sharedStrings.xml><?xml version="1.0" encoding="utf-8"?>
<sst xmlns="http://schemas.openxmlformats.org/spreadsheetml/2006/main" count="167" uniqueCount="62">
  <si>
    <t>Virtual Meeting of Regional Technical Advisory
Group for dengue and other arbovirus</t>
  </si>
  <si>
    <t>WHO_WPSAR_2013_2019_adm0_annual.pdf</t>
  </si>
  <si>
    <t>who searo dengue page</t>
  </si>
  <si>
    <t>WHO_WPSAR_2012_adm0_annual.pdf</t>
  </si>
  <si>
    <t>WHO_WPSAR_2011_adm0_annual.pdf</t>
  </si>
  <si>
    <t>Year</t>
  </si>
  <si>
    <t>Brunei</t>
  </si>
  <si>
    <t>China</t>
  </si>
  <si>
    <t>Hong Kong</t>
  </si>
  <si>
    <t>Japan</t>
  </si>
  <si>
    <t>RoK</t>
  </si>
  <si>
    <t>Macao</t>
  </si>
  <si>
    <t>Mongolia</t>
  </si>
  <si>
    <t>Aus</t>
  </si>
  <si>
    <t>Cook</t>
  </si>
  <si>
    <t>Fiji</t>
  </si>
  <si>
    <t>French polynesia</t>
  </si>
  <si>
    <t>FSM</t>
  </si>
  <si>
    <t>New Cal</t>
  </si>
  <si>
    <t>New Zealand</t>
  </si>
  <si>
    <t>Palau</t>
  </si>
  <si>
    <t>Vanuatu</t>
  </si>
  <si>
    <t>CAMBODIA</t>
  </si>
  <si>
    <t>LAO PEOPLE'S DEMOCRATIC REPUBLIC</t>
  </si>
  <si>
    <t>MALAYSIA</t>
  </si>
  <si>
    <t>PHILIPPINES</t>
  </si>
  <si>
    <t>SINGAPORE</t>
  </si>
  <si>
    <t>VIET NAM</t>
  </si>
  <si>
    <t>MARSHALL ISLANDS</t>
  </si>
  <si>
    <t>KIRIBATI</t>
  </si>
  <si>
    <t>NIUE</t>
  </si>
  <si>
    <t>who_region</t>
  </si>
  <si>
    <t>who_est</t>
  </si>
  <si>
    <t>who_source</t>
  </si>
  <si>
    <t>Meeting of programme managers and
the Regional Technical Advisory Group
on dengue and other arboviruses
in the South-East Asia Region</t>
  </si>
  <si>
    <t>Global</t>
  </si>
  <si>
    <t>WPRO</t>
  </si>
  <si>
    <t>SEARO</t>
  </si>
  <si>
    <t>AFRO</t>
  </si>
  <si>
    <t>Dengue - global situation 2023</t>
  </si>
  <si>
    <t>PAHO</t>
  </si>
  <si>
    <t>https://www.who.int/timorleste/publications/national-guideline-for-clinical-management-of-dengue-2022</t>
  </si>
  <si>
    <t>Dengue - global situation 2024</t>
  </si>
  <si>
    <t>Global strategy for dengue prevention and control 2012-2020</t>
  </si>
  <si>
    <t>Epidemiologic update on the dengue
situation in the Western Pacifi c Region,
2010</t>
  </si>
  <si>
    <t>Number of reported Dengue cases and deaths of DF/DHF in SEAR countries from 1985 to 2005</t>
  </si>
  <si>
    <t>Situation update of dengue in the SEA Region, 2010</t>
  </si>
  <si>
    <t>Dengue cases reported from countries of the SEA Region, 2003-2012</t>
  </si>
  <si>
    <t>Bangladesh</t>
  </si>
  <si>
    <t>Bhutan</t>
  </si>
  <si>
    <t>India</t>
  </si>
  <si>
    <t>Indonesia</t>
  </si>
  <si>
    <t>Maldives</t>
  </si>
  <si>
    <t>Myanmar</t>
  </si>
  <si>
    <t>Nepal</t>
  </si>
  <si>
    <t>Sri Lanka</t>
  </si>
  <si>
    <t>Thailand</t>
  </si>
  <si>
    <t>SEARO Dengue Situation Update, 24 September 2012</t>
  </si>
  <si>
    <t>Timor-Leste</t>
  </si>
  <si>
    <t>Number of Reported Cases of Dengue Fever and Dengue Hemorrhagic Fever (DF/DHF)
in the Western Pacific Region  2000</t>
  </si>
  <si>
    <t>Number of Reported Cases of Dengue Fever and Dengue Hemorrhagic Fever (DF/DHF) 
in the Western Pacific Region 2004</t>
  </si>
  <si>
    <t>Number of Reported Cases of Dengue Fever and Dengue Hemorrhagic Fever (DF/DHF) 
in the Western Pacific Region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</si>
</sst>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262626"/>
      <name val="Inter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AE2D-BE03-4379-B074-E5820131E983}">
  <dimension ref="A1:D53"/>
  <sheetViews>
    <sheetView tabSelected="1" workbookViewId="0">
      <selection activeCell="D20" sqref="D20"/>
    </sheetView>
  </sheetViews>
  <sheetFormatPr defaultRowHeight="15.75" x14ac:dyDescent="0.25"/>
  <cols>
    <col min="4" max="4" width="9" style="6"/>
  </cols>
  <sheetData>
    <row r="1" spans="1:4" x14ac:dyDescent="0.25">
      <c r="A1" t="s">
        <v>5</v>
      </c>
      <c r="B1" t="s">
        <v>31</v>
      </c>
      <c r="C1" t="s">
        <v>32</v>
      </c>
      <c r="D1" s="6" t="s">
        <v>33</v>
      </c>
    </row>
    <row r="2" spans="1:4" x14ac:dyDescent="0.25">
      <c r="A2">
        <v>2000</v>
      </c>
      <c r="B2" t="s">
        <v>35</v>
      </c>
      <c r="C2">
        <v>505430</v>
      </c>
      <c r="D2" t="s">
        <v>41</v>
      </c>
    </row>
    <row r="3" spans="1:4" x14ac:dyDescent="0.25">
      <c r="A3">
        <v>2008</v>
      </c>
      <c r="B3" t="s">
        <v>35</v>
      </c>
      <c r="C3">
        <v>1279668</v>
      </c>
      <c r="D3" s="3" t="s">
        <v>43</v>
      </c>
    </row>
    <row r="4" spans="1:4" x14ac:dyDescent="0.25">
      <c r="A4">
        <v>2009</v>
      </c>
      <c r="B4" t="s">
        <v>35</v>
      </c>
      <c r="C4">
        <v>1451083</v>
      </c>
      <c r="D4" s="3" t="s">
        <v>43</v>
      </c>
    </row>
    <row r="5" spans="1:4" x14ac:dyDescent="0.25">
      <c r="A5">
        <v>2010</v>
      </c>
      <c r="B5" t="s">
        <v>35</v>
      </c>
      <c r="C5">
        <f>2.4*1000000</f>
        <v>2400000</v>
      </c>
      <c r="D5" t="s">
        <v>41</v>
      </c>
    </row>
    <row r="6" spans="1:4" x14ac:dyDescent="0.25">
      <c r="A6">
        <v>2000</v>
      </c>
      <c r="B6" t="s">
        <v>36</v>
      </c>
      <c r="C6">
        <v>48034</v>
      </c>
      <c r="D6" s="6" t="s">
        <v>59</v>
      </c>
    </row>
    <row r="7" spans="1:4" x14ac:dyDescent="0.25">
      <c r="A7">
        <v>1990</v>
      </c>
      <c r="B7" t="s">
        <v>37</v>
      </c>
      <c r="C7">
        <v>121401</v>
      </c>
      <c r="D7" t="s">
        <v>45</v>
      </c>
    </row>
    <row r="8" spans="1:4" x14ac:dyDescent="0.25">
      <c r="A8">
        <v>2004</v>
      </c>
      <c r="B8" t="s">
        <v>36</v>
      </c>
      <c r="C8">
        <v>160823</v>
      </c>
      <c r="D8" s="6" t="s">
        <v>60</v>
      </c>
    </row>
    <row r="9" spans="1:4" x14ac:dyDescent="0.25">
      <c r="A9">
        <v>2005</v>
      </c>
      <c r="B9" t="s">
        <v>36</v>
      </c>
      <c r="C9">
        <v>159847</v>
      </c>
      <c r="D9" s="6" t="s">
        <v>61</v>
      </c>
    </row>
    <row r="10" spans="1:4" x14ac:dyDescent="0.25">
      <c r="A10">
        <v>2009</v>
      </c>
      <c r="B10" t="s">
        <v>36</v>
      </c>
      <c r="C10">
        <v>242424</v>
      </c>
      <c r="D10" s="6" t="s">
        <v>44</v>
      </c>
    </row>
    <row r="11" spans="1:4" x14ac:dyDescent="0.25">
      <c r="A11">
        <v>2010</v>
      </c>
      <c r="B11" t="s">
        <v>36</v>
      </c>
      <c r="C11">
        <v>353907</v>
      </c>
      <c r="D11" s="6" t="s">
        <v>4</v>
      </c>
    </row>
    <row r="12" spans="1:4" x14ac:dyDescent="0.25">
      <c r="A12">
        <v>1991</v>
      </c>
      <c r="B12" t="s">
        <v>37</v>
      </c>
      <c r="C12">
        <v>78742</v>
      </c>
      <c r="D12" t="s">
        <v>45</v>
      </c>
    </row>
    <row r="13" spans="1:4" x14ac:dyDescent="0.25">
      <c r="A13">
        <v>2011</v>
      </c>
      <c r="B13" t="s">
        <v>36</v>
      </c>
      <c r="C13">
        <v>244880</v>
      </c>
      <c r="D13" s="6" t="s">
        <v>4</v>
      </c>
    </row>
    <row r="14" spans="1:4" x14ac:dyDescent="0.25">
      <c r="A14">
        <v>2012</v>
      </c>
      <c r="B14" t="s">
        <v>36</v>
      </c>
      <c r="C14">
        <v>356838</v>
      </c>
      <c r="D14" s="6" t="s">
        <v>3</v>
      </c>
    </row>
    <row r="15" spans="1:4" x14ac:dyDescent="0.25">
      <c r="A15">
        <v>2013</v>
      </c>
      <c r="B15" t="s">
        <v>36</v>
      </c>
      <c r="C15">
        <v>430023</v>
      </c>
      <c r="D15" s="6" t="s">
        <v>1</v>
      </c>
    </row>
    <row r="16" spans="1:4" x14ac:dyDescent="0.25">
      <c r="A16">
        <v>2014</v>
      </c>
      <c r="B16" t="s">
        <v>36</v>
      </c>
      <c r="C16">
        <v>376972</v>
      </c>
      <c r="D16" s="6" t="s">
        <v>1</v>
      </c>
    </row>
    <row r="17" spans="1:4" x14ac:dyDescent="0.25">
      <c r="A17">
        <v>2019</v>
      </c>
      <c r="B17" t="s">
        <v>35</v>
      </c>
      <c r="C17">
        <v>5200000</v>
      </c>
      <c r="D17" t="s">
        <v>39</v>
      </c>
    </row>
    <row r="18" spans="1:4" x14ac:dyDescent="0.25">
      <c r="A18">
        <v>1992</v>
      </c>
      <c r="B18" t="s">
        <v>37</v>
      </c>
      <c r="C18">
        <v>63769</v>
      </c>
      <c r="D18" t="s">
        <v>45</v>
      </c>
    </row>
    <row r="19" spans="1:4" x14ac:dyDescent="0.25">
      <c r="A19">
        <v>2015</v>
      </c>
      <c r="B19" t="s">
        <v>36</v>
      </c>
      <c r="C19">
        <v>513574</v>
      </c>
      <c r="D19" s="6" t="s">
        <v>1</v>
      </c>
    </row>
    <row r="20" spans="1:4" x14ac:dyDescent="0.25">
      <c r="A20">
        <v>2020</v>
      </c>
      <c r="B20" t="s">
        <v>38</v>
      </c>
      <c r="C20">
        <v>220897</v>
      </c>
      <c r="D20" t="s">
        <v>0</v>
      </c>
    </row>
    <row r="21" spans="1:4" x14ac:dyDescent="0.25">
      <c r="A21">
        <v>2020</v>
      </c>
      <c r="B21" t="s">
        <v>35</v>
      </c>
      <c r="C21">
        <v>2904920</v>
      </c>
      <c r="D21" s="2" t="s">
        <v>34</v>
      </c>
    </row>
    <row r="22" spans="1:4" x14ac:dyDescent="0.25">
      <c r="A22">
        <v>1993</v>
      </c>
      <c r="B22" t="s">
        <v>37</v>
      </c>
      <c r="C22">
        <v>98589</v>
      </c>
      <c r="D22" t="s">
        <v>45</v>
      </c>
    </row>
    <row r="23" spans="1:4" x14ac:dyDescent="0.25">
      <c r="A23">
        <v>2021</v>
      </c>
      <c r="B23" t="s">
        <v>35</v>
      </c>
      <c r="C23">
        <v>1465348</v>
      </c>
      <c r="D23" s="2" t="s">
        <v>34</v>
      </c>
    </row>
    <row r="24" spans="1:4" x14ac:dyDescent="0.25">
      <c r="A24">
        <v>2022</v>
      </c>
      <c r="B24" t="s">
        <v>35</v>
      </c>
      <c r="C24">
        <v>3503550</v>
      </c>
      <c r="D24" s="2" t="s">
        <v>34</v>
      </c>
    </row>
    <row r="25" spans="1:4" x14ac:dyDescent="0.25">
      <c r="A25">
        <v>2023</v>
      </c>
      <c r="B25" t="s">
        <v>38</v>
      </c>
      <c r="C25">
        <v>171991</v>
      </c>
      <c r="D25" t="s">
        <v>39</v>
      </c>
    </row>
    <row r="26" spans="1:4" x14ac:dyDescent="0.25">
      <c r="A26">
        <v>2023</v>
      </c>
      <c r="B26" t="s">
        <v>40</v>
      </c>
      <c r="C26">
        <v>4600086</v>
      </c>
      <c r="D26" t="s">
        <v>42</v>
      </c>
    </row>
    <row r="27" spans="1:4" x14ac:dyDescent="0.25">
      <c r="A27">
        <v>2019</v>
      </c>
      <c r="B27" t="s">
        <v>35</v>
      </c>
      <c r="C27">
        <v>5037403</v>
      </c>
      <c r="D27" s="2" t="s">
        <v>34</v>
      </c>
    </row>
    <row r="28" spans="1:4" x14ac:dyDescent="0.25">
      <c r="A28">
        <v>1994</v>
      </c>
      <c r="B28" t="s">
        <v>37</v>
      </c>
      <c r="C28">
        <v>90194</v>
      </c>
      <c r="D28" t="s">
        <v>45</v>
      </c>
    </row>
    <row r="29" spans="1:4" x14ac:dyDescent="0.25">
      <c r="A29">
        <v>2016</v>
      </c>
      <c r="B29" t="s">
        <v>36</v>
      </c>
      <c r="C29">
        <v>458843</v>
      </c>
      <c r="D29" s="6" t="s">
        <v>1</v>
      </c>
    </row>
    <row r="30" spans="1:4" x14ac:dyDescent="0.25">
      <c r="A30">
        <v>1995</v>
      </c>
      <c r="B30" t="s">
        <v>37</v>
      </c>
      <c r="C30">
        <v>106196</v>
      </c>
      <c r="D30" t="s">
        <v>45</v>
      </c>
    </row>
    <row r="31" spans="1:4" x14ac:dyDescent="0.25">
      <c r="A31">
        <v>1996</v>
      </c>
      <c r="B31" t="s">
        <v>37</v>
      </c>
      <c r="C31">
        <v>102248</v>
      </c>
      <c r="D31" t="s">
        <v>45</v>
      </c>
    </row>
    <row r="32" spans="1:4" x14ac:dyDescent="0.25">
      <c r="A32">
        <v>1997</v>
      </c>
      <c r="B32" t="s">
        <v>37</v>
      </c>
      <c r="C32">
        <v>139079</v>
      </c>
      <c r="D32" t="s">
        <v>45</v>
      </c>
    </row>
    <row r="33" spans="1:4" x14ac:dyDescent="0.25">
      <c r="A33">
        <v>1998</v>
      </c>
      <c r="B33" t="s">
        <v>37</v>
      </c>
      <c r="C33">
        <v>218821</v>
      </c>
      <c r="D33" t="s">
        <v>45</v>
      </c>
    </row>
    <row r="34" spans="1:4" x14ac:dyDescent="0.25">
      <c r="A34">
        <v>1999</v>
      </c>
      <c r="B34" t="s">
        <v>37</v>
      </c>
      <c r="C34">
        <v>54811</v>
      </c>
      <c r="D34" t="s">
        <v>45</v>
      </c>
    </row>
    <row r="35" spans="1:4" x14ac:dyDescent="0.25">
      <c r="A35">
        <v>2017</v>
      </c>
      <c r="B35" t="s">
        <v>36</v>
      </c>
      <c r="C35">
        <v>454231</v>
      </c>
      <c r="D35" s="6" t="s">
        <v>1</v>
      </c>
    </row>
    <row r="36" spans="1:4" x14ac:dyDescent="0.25">
      <c r="A36">
        <v>2000</v>
      </c>
      <c r="B36" t="s">
        <v>37</v>
      </c>
      <c r="C36">
        <v>63672</v>
      </c>
      <c r="D36" t="s">
        <v>46</v>
      </c>
    </row>
    <row r="37" spans="1:4" x14ac:dyDescent="0.25">
      <c r="A37">
        <v>2001</v>
      </c>
      <c r="B37" t="s">
        <v>37</v>
      </c>
      <c r="C37">
        <v>211039</v>
      </c>
      <c r="D37" t="s">
        <v>45</v>
      </c>
    </row>
    <row r="38" spans="1:4" x14ac:dyDescent="0.25">
      <c r="A38">
        <v>2002</v>
      </c>
      <c r="B38" t="s">
        <v>37</v>
      </c>
      <c r="C38">
        <v>188240</v>
      </c>
      <c r="D38" t="s">
        <v>45</v>
      </c>
    </row>
    <row r="39" spans="1:4" x14ac:dyDescent="0.25">
      <c r="A39">
        <v>2003</v>
      </c>
      <c r="B39" t="s">
        <v>37</v>
      </c>
      <c r="C39">
        <v>140635</v>
      </c>
      <c r="D39" t="s">
        <v>45</v>
      </c>
    </row>
    <row r="40" spans="1:4" x14ac:dyDescent="0.25">
      <c r="A40">
        <v>2004</v>
      </c>
      <c r="B40" t="s">
        <v>37</v>
      </c>
      <c r="C40">
        <v>152482</v>
      </c>
      <c r="D40" t="s">
        <v>45</v>
      </c>
    </row>
    <row r="41" spans="1:4" x14ac:dyDescent="0.25">
      <c r="A41">
        <v>2005</v>
      </c>
      <c r="B41" t="s">
        <v>37</v>
      </c>
      <c r="C41">
        <v>179918</v>
      </c>
      <c r="D41" t="s">
        <v>45</v>
      </c>
    </row>
    <row r="42" spans="1:4" x14ac:dyDescent="0.25">
      <c r="A42">
        <v>2006</v>
      </c>
      <c r="B42" t="s">
        <v>37</v>
      </c>
      <c r="C42">
        <v>189832</v>
      </c>
      <c r="D42" t="s">
        <v>46</v>
      </c>
    </row>
    <row r="43" spans="1:4" x14ac:dyDescent="0.25">
      <c r="A43">
        <v>2007</v>
      </c>
      <c r="B43" t="s">
        <v>37</v>
      </c>
      <c r="C43">
        <v>250458</v>
      </c>
      <c r="D43" t="s">
        <v>46</v>
      </c>
    </row>
    <row r="44" spans="1:4" x14ac:dyDescent="0.25">
      <c r="A44">
        <v>2008</v>
      </c>
      <c r="B44" t="s">
        <v>37</v>
      </c>
      <c r="C44">
        <v>281723</v>
      </c>
      <c r="D44" t="s">
        <v>46</v>
      </c>
    </row>
    <row r="45" spans="1:4" x14ac:dyDescent="0.25">
      <c r="A45">
        <v>2009</v>
      </c>
      <c r="B45" t="s">
        <v>37</v>
      </c>
      <c r="C45">
        <v>257882</v>
      </c>
      <c r="D45" t="s">
        <v>46</v>
      </c>
    </row>
    <row r="46" spans="1:4" x14ac:dyDescent="0.25">
      <c r="A46">
        <v>2010</v>
      </c>
      <c r="B46" t="s">
        <v>37</v>
      </c>
      <c r="C46">
        <v>355137</v>
      </c>
      <c r="D46" t="s">
        <v>57</v>
      </c>
    </row>
    <row r="47" spans="1:4" x14ac:dyDescent="0.25">
      <c r="A47">
        <v>2011</v>
      </c>
      <c r="B47" t="s">
        <v>37</v>
      </c>
      <c r="C47">
        <f>0.19*1000000</f>
        <v>190000</v>
      </c>
      <c r="D47" t="s">
        <v>0</v>
      </c>
    </row>
    <row r="48" spans="1:4" x14ac:dyDescent="0.25">
      <c r="A48">
        <v>2012</v>
      </c>
      <c r="B48" t="s">
        <v>37</v>
      </c>
      <c r="C48">
        <v>257204</v>
      </c>
      <c r="D48" t="s">
        <v>47</v>
      </c>
    </row>
    <row r="49" spans="1:4" x14ac:dyDescent="0.25">
      <c r="A49">
        <v>2015</v>
      </c>
      <c r="B49" t="s">
        <v>37</v>
      </c>
      <c r="C49">
        <v>451442</v>
      </c>
      <c r="D49" t="s">
        <v>2</v>
      </c>
    </row>
    <row r="50" spans="1:4" x14ac:dyDescent="0.25">
      <c r="A50">
        <v>2019</v>
      </c>
      <c r="B50" t="s">
        <v>37</v>
      </c>
      <c r="C50">
        <v>684456</v>
      </c>
      <c r="D50" s="2" t="s">
        <v>34</v>
      </c>
    </row>
    <row r="51" spans="1:4" x14ac:dyDescent="0.25">
      <c r="A51">
        <v>2020</v>
      </c>
      <c r="B51" t="s">
        <v>37</v>
      </c>
      <c r="C51">
        <v>275786</v>
      </c>
      <c r="D51" s="2" t="s">
        <v>34</v>
      </c>
    </row>
    <row r="52" spans="1:4" x14ac:dyDescent="0.25">
      <c r="A52">
        <v>2018</v>
      </c>
      <c r="B52" t="s">
        <v>36</v>
      </c>
      <c r="C52">
        <v>479263</v>
      </c>
      <c r="D52" s="6" t="s">
        <v>1</v>
      </c>
    </row>
    <row r="53" spans="1:4" x14ac:dyDescent="0.25">
      <c r="A53">
        <v>2019</v>
      </c>
      <c r="B53" t="s">
        <v>36</v>
      </c>
      <c r="C53">
        <v>1050285</v>
      </c>
      <c r="D53" s="6" t="s">
        <v>1</v>
      </c>
    </row>
  </sheetData>
  <autoFilter ref="A1:D53" xr:uid="{8275AE2D-BE03-4379-B074-E5820131E98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4CCF-3816-4F71-B610-087F5451712B}">
  <dimension ref="A1:G26"/>
  <sheetViews>
    <sheetView workbookViewId="0">
      <selection activeCell="B1" sqref="B1"/>
    </sheetView>
  </sheetViews>
  <sheetFormatPr defaultRowHeight="15.75" x14ac:dyDescent="0.25"/>
  <sheetData>
    <row r="1" spans="1:7" x14ac:dyDescent="0.25">
      <c r="B1">
        <v>2007</v>
      </c>
      <c r="C1">
        <v>2008</v>
      </c>
      <c r="D1">
        <v>2009</v>
      </c>
      <c r="E1">
        <v>2010</v>
      </c>
      <c r="F1">
        <v>2011</v>
      </c>
      <c r="G1">
        <v>2012</v>
      </c>
    </row>
    <row r="2" spans="1:7" x14ac:dyDescent="0.25">
      <c r="A2" t="s">
        <v>6</v>
      </c>
      <c r="F2">
        <v>25</v>
      </c>
      <c r="G2">
        <v>290</v>
      </c>
    </row>
    <row r="3" spans="1:7" x14ac:dyDescent="0.25">
      <c r="A3" s="1" t="s">
        <v>22</v>
      </c>
      <c r="B3">
        <v>39851</v>
      </c>
      <c r="C3">
        <v>9542</v>
      </c>
      <c r="D3">
        <v>11699</v>
      </c>
      <c r="E3">
        <v>12500</v>
      </c>
      <c r="F3">
        <v>15980</v>
      </c>
      <c r="G3">
        <v>42362</v>
      </c>
    </row>
    <row r="4" spans="1:7" x14ac:dyDescent="0.25">
      <c r="A4" t="s">
        <v>7</v>
      </c>
      <c r="F4">
        <v>124</v>
      </c>
      <c r="G4">
        <v>575</v>
      </c>
    </row>
    <row r="5" spans="1:7" x14ac:dyDescent="0.25">
      <c r="A5" t="s">
        <v>8</v>
      </c>
      <c r="F5">
        <v>30</v>
      </c>
      <c r="G5">
        <v>53</v>
      </c>
    </row>
    <row r="6" spans="1:7" x14ac:dyDescent="0.25">
      <c r="A6" t="s">
        <v>9</v>
      </c>
      <c r="F6">
        <v>104</v>
      </c>
      <c r="G6">
        <v>24</v>
      </c>
    </row>
    <row r="7" spans="1:7" x14ac:dyDescent="0.25">
      <c r="A7" t="s">
        <v>10</v>
      </c>
      <c r="F7">
        <v>72</v>
      </c>
      <c r="G7">
        <v>220</v>
      </c>
    </row>
    <row r="8" spans="1:7" x14ac:dyDescent="0.25">
      <c r="A8" s="1" t="s">
        <v>23</v>
      </c>
      <c r="B8">
        <v>4943</v>
      </c>
      <c r="C8">
        <v>4149</v>
      </c>
      <c r="D8">
        <v>7214</v>
      </c>
      <c r="E8">
        <v>22929</v>
      </c>
      <c r="F8">
        <v>3905</v>
      </c>
      <c r="G8">
        <v>145</v>
      </c>
    </row>
    <row r="9" spans="1:7" x14ac:dyDescent="0.25">
      <c r="A9" t="s">
        <v>11</v>
      </c>
      <c r="F9">
        <v>3</v>
      </c>
      <c r="G9">
        <v>9952</v>
      </c>
    </row>
    <row r="10" spans="1:7" x14ac:dyDescent="0.25">
      <c r="A10" s="1" t="s">
        <v>24</v>
      </c>
      <c r="B10">
        <v>48846</v>
      </c>
      <c r="C10">
        <v>49335</v>
      </c>
      <c r="D10">
        <v>41486</v>
      </c>
      <c r="E10">
        <v>46171</v>
      </c>
      <c r="F10">
        <v>19884</v>
      </c>
      <c r="G10">
        <v>21900</v>
      </c>
    </row>
    <row r="11" spans="1:7" x14ac:dyDescent="0.25">
      <c r="A11" t="s">
        <v>12</v>
      </c>
      <c r="F11">
        <v>0</v>
      </c>
      <c r="G11">
        <v>0</v>
      </c>
    </row>
    <row r="12" spans="1:7" x14ac:dyDescent="0.25">
      <c r="A12" s="1" t="s">
        <v>25</v>
      </c>
      <c r="B12">
        <v>55639</v>
      </c>
      <c r="C12">
        <v>39620</v>
      </c>
      <c r="D12">
        <v>57819</v>
      </c>
      <c r="E12">
        <v>135355</v>
      </c>
      <c r="F12">
        <v>125975</v>
      </c>
      <c r="G12">
        <v>187031</v>
      </c>
    </row>
    <row r="13" spans="1:7" x14ac:dyDescent="0.25">
      <c r="A13" s="1" t="s">
        <v>26</v>
      </c>
      <c r="B13">
        <v>8826</v>
      </c>
      <c r="C13">
        <v>7031</v>
      </c>
      <c r="D13">
        <v>4497</v>
      </c>
      <c r="E13">
        <v>5363</v>
      </c>
      <c r="F13">
        <v>5330</v>
      </c>
      <c r="G13">
        <v>4632</v>
      </c>
    </row>
    <row r="14" spans="1:7" x14ac:dyDescent="0.25">
      <c r="A14" s="1" t="s">
        <v>27</v>
      </c>
      <c r="B14">
        <v>104393</v>
      </c>
      <c r="C14">
        <v>96451</v>
      </c>
      <c r="D14">
        <v>105370</v>
      </c>
      <c r="E14">
        <v>128831</v>
      </c>
      <c r="F14">
        <v>69680</v>
      </c>
      <c r="G14">
        <v>86026</v>
      </c>
    </row>
    <row r="15" spans="1:7" x14ac:dyDescent="0.25">
      <c r="A15" t="s">
        <v>13</v>
      </c>
      <c r="B15">
        <v>316</v>
      </c>
      <c r="C15">
        <v>563</v>
      </c>
      <c r="D15">
        <v>1401</v>
      </c>
      <c r="E15">
        <v>1171</v>
      </c>
      <c r="F15">
        <v>820</v>
      </c>
      <c r="G15">
        <v>1542</v>
      </c>
    </row>
    <row r="16" spans="1:7" x14ac:dyDescent="0.25">
      <c r="A16" t="s">
        <v>14</v>
      </c>
      <c r="F16">
        <v>0</v>
      </c>
    </row>
    <row r="17" spans="1:7" x14ac:dyDescent="0.25">
      <c r="A17" t="s">
        <v>15</v>
      </c>
      <c r="F17">
        <v>245</v>
      </c>
      <c r="G17">
        <v>705</v>
      </c>
    </row>
    <row r="18" spans="1:7" x14ac:dyDescent="0.25">
      <c r="A18" t="s">
        <v>16</v>
      </c>
      <c r="F18">
        <v>12</v>
      </c>
    </row>
    <row r="19" spans="1:7" x14ac:dyDescent="0.25">
      <c r="A19" s="1" t="s">
        <v>28</v>
      </c>
      <c r="F19">
        <v>1257</v>
      </c>
      <c r="G19">
        <v>182</v>
      </c>
    </row>
    <row r="20" spans="1:7" x14ac:dyDescent="0.25">
      <c r="A20" t="s">
        <v>17</v>
      </c>
      <c r="F20">
        <v>1024</v>
      </c>
      <c r="G20">
        <v>273</v>
      </c>
    </row>
    <row r="21" spans="1:7" x14ac:dyDescent="0.25">
      <c r="A21" t="s">
        <v>18</v>
      </c>
      <c r="F21">
        <v>1</v>
      </c>
      <c r="G21">
        <v>478</v>
      </c>
    </row>
    <row r="22" spans="1:7" x14ac:dyDescent="0.25">
      <c r="A22" t="s">
        <v>19</v>
      </c>
      <c r="F22">
        <v>42</v>
      </c>
      <c r="G22">
        <v>77</v>
      </c>
    </row>
    <row r="23" spans="1:7" x14ac:dyDescent="0.25">
      <c r="A23" t="s">
        <v>20</v>
      </c>
      <c r="F23">
        <v>334</v>
      </c>
    </row>
    <row r="24" spans="1:7" x14ac:dyDescent="0.25">
      <c r="A24" t="s">
        <v>21</v>
      </c>
      <c r="F24">
        <v>33</v>
      </c>
    </row>
    <row r="25" spans="1:7" x14ac:dyDescent="0.25">
      <c r="A25" s="1" t="s">
        <v>29</v>
      </c>
      <c r="G25">
        <v>243</v>
      </c>
    </row>
    <row r="26" spans="1:7" x14ac:dyDescent="0.25">
      <c r="A26" s="1" t="s">
        <v>30</v>
      </c>
      <c r="G26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F8B4-56F1-46F5-9310-CB3C67C43DA2}">
  <dimension ref="A2:C35"/>
  <sheetViews>
    <sheetView workbookViewId="0">
      <selection activeCell="Q8" sqref="Q8"/>
    </sheetView>
  </sheetViews>
  <sheetFormatPr defaultRowHeight="15.75" x14ac:dyDescent="0.25"/>
  <sheetData>
    <row r="2" spans="1:3" x14ac:dyDescent="0.25">
      <c r="A2" t="s">
        <v>48</v>
      </c>
      <c r="B2">
        <v>409</v>
      </c>
      <c r="C2">
        <v>2010</v>
      </c>
    </row>
    <row r="3" spans="1:3" x14ac:dyDescent="0.25">
      <c r="A3" t="s">
        <v>49</v>
      </c>
      <c r="B3">
        <v>887</v>
      </c>
      <c r="C3">
        <v>2010</v>
      </c>
    </row>
    <row r="4" spans="1:3" x14ac:dyDescent="0.25">
      <c r="A4" t="s">
        <v>50</v>
      </c>
      <c r="B4">
        <v>28292</v>
      </c>
      <c r="C4">
        <v>2010</v>
      </c>
    </row>
    <row r="5" spans="1:3" x14ac:dyDescent="0.25">
      <c r="A5" s="5" t="s">
        <v>51</v>
      </c>
      <c r="B5" s="5">
        <v>155777</v>
      </c>
      <c r="C5" s="5">
        <v>2010</v>
      </c>
    </row>
    <row r="6" spans="1:3" x14ac:dyDescent="0.25">
      <c r="A6" t="s">
        <v>52</v>
      </c>
      <c r="B6">
        <v>917</v>
      </c>
      <c r="C6">
        <v>2010</v>
      </c>
    </row>
    <row r="7" spans="1:3" x14ac:dyDescent="0.25">
      <c r="A7" t="s">
        <v>53</v>
      </c>
      <c r="B7">
        <v>16529</v>
      </c>
      <c r="C7">
        <v>2010</v>
      </c>
    </row>
    <row r="8" spans="1:3" x14ac:dyDescent="0.25">
      <c r="A8" t="s">
        <v>54</v>
      </c>
      <c r="B8">
        <v>917</v>
      </c>
      <c r="C8">
        <v>2010</v>
      </c>
    </row>
    <row r="9" spans="1:3" x14ac:dyDescent="0.25">
      <c r="A9" s="5" t="s">
        <v>55</v>
      </c>
      <c r="B9" s="5">
        <v>34105</v>
      </c>
      <c r="C9" s="5">
        <v>2010</v>
      </c>
    </row>
    <row r="10" spans="1:3" x14ac:dyDescent="0.25">
      <c r="A10" t="s">
        <v>56</v>
      </c>
      <c r="B10">
        <v>116947</v>
      </c>
      <c r="C10">
        <v>2010</v>
      </c>
    </row>
    <row r="11" spans="1:3" x14ac:dyDescent="0.25">
      <c r="A11" t="s">
        <v>58</v>
      </c>
      <c r="B11">
        <v>745</v>
      </c>
      <c r="C11">
        <v>2010</v>
      </c>
    </row>
    <row r="12" spans="1:3" x14ac:dyDescent="0.25">
      <c r="A12" t="s">
        <v>48</v>
      </c>
      <c r="B12">
        <v>671</v>
      </c>
      <c r="C12">
        <v>2012</v>
      </c>
    </row>
    <row r="13" spans="1:3" x14ac:dyDescent="0.25">
      <c r="A13" t="s">
        <v>49</v>
      </c>
      <c r="B13">
        <v>1101</v>
      </c>
      <c r="C13">
        <v>2012</v>
      </c>
    </row>
    <row r="14" spans="1:3" x14ac:dyDescent="0.25">
      <c r="A14" t="s">
        <v>50</v>
      </c>
      <c r="B14">
        <v>50222</v>
      </c>
      <c r="C14">
        <v>2012</v>
      </c>
    </row>
    <row r="15" spans="1:3" x14ac:dyDescent="0.25">
      <c r="A15" s="5" t="s">
        <v>51</v>
      </c>
      <c r="B15" s="5">
        <v>74062</v>
      </c>
      <c r="C15" s="5">
        <v>2012</v>
      </c>
    </row>
    <row r="16" spans="1:3" x14ac:dyDescent="0.25">
      <c r="A16" t="s">
        <v>52</v>
      </c>
      <c r="B16">
        <v>1083</v>
      </c>
      <c r="C16">
        <v>2012</v>
      </c>
    </row>
    <row r="17" spans="1:3" x14ac:dyDescent="0.25">
      <c r="A17" s="5" t="s">
        <v>53</v>
      </c>
      <c r="B17" s="5">
        <v>6433</v>
      </c>
      <c r="C17" s="5">
        <v>2012</v>
      </c>
    </row>
    <row r="18" spans="1:3" x14ac:dyDescent="0.25">
      <c r="A18" t="s">
        <v>54</v>
      </c>
      <c r="B18">
        <v>183</v>
      </c>
      <c r="C18">
        <v>2012</v>
      </c>
    </row>
    <row r="19" spans="1:3" x14ac:dyDescent="0.25">
      <c r="A19" t="s">
        <v>55</v>
      </c>
      <c r="B19">
        <v>44456</v>
      </c>
      <c r="C19">
        <v>2012</v>
      </c>
    </row>
    <row r="20" spans="1:3" x14ac:dyDescent="0.25">
      <c r="A20" s="5" t="s">
        <v>56</v>
      </c>
      <c r="B20" s="5">
        <v>78063</v>
      </c>
      <c r="C20" s="5">
        <v>2012</v>
      </c>
    </row>
    <row r="21" spans="1:3" x14ac:dyDescent="0.25">
      <c r="A21" t="s">
        <v>58</v>
      </c>
      <c r="B21">
        <v>930</v>
      </c>
      <c r="C21">
        <v>2012</v>
      </c>
    </row>
    <row r="22" spans="1:3" x14ac:dyDescent="0.25">
      <c r="A22" s="4" t="s">
        <v>48</v>
      </c>
      <c r="B22" s="4">
        <v>101354</v>
      </c>
      <c r="C22" s="4">
        <v>2019</v>
      </c>
    </row>
    <row r="23" spans="1:3" x14ac:dyDescent="0.25">
      <c r="A23" t="s">
        <v>48</v>
      </c>
      <c r="B23">
        <v>62382</v>
      </c>
      <c r="C23">
        <v>2022</v>
      </c>
    </row>
    <row r="24" spans="1:3" x14ac:dyDescent="0.25">
      <c r="A24" t="s">
        <v>49</v>
      </c>
      <c r="B24">
        <v>460</v>
      </c>
      <c r="C24">
        <v>2022</v>
      </c>
    </row>
    <row r="25" spans="1:3" x14ac:dyDescent="0.25">
      <c r="A25" s="4" t="s">
        <v>51</v>
      </c>
      <c r="B25" s="4">
        <v>73511</v>
      </c>
      <c r="C25" s="4">
        <v>2020</v>
      </c>
    </row>
    <row r="26" spans="1:3" x14ac:dyDescent="0.25">
      <c r="A26" t="s">
        <v>52</v>
      </c>
      <c r="B26">
        <v>3403</v>
      </c>
      <c r="C26">
        <v>2018</v>
      </c>
    </row>
    <row r="27" spans="1:3" x14ac:dyDescent="0.25">
      <c r="A27" t="s">
        <v>52</v>
      </c>
      <c r="B27">
        <v>5008</v>
      </c>
      <c r="C27">
        <v>2019</v>
      </c>
    </row>
    <row r="28" spans="1:3" x14ac:dyDescent="0.25">
      <c r="A28" t="s">
        <v>52</v>
      </c>
      <c r="B28">
        <v>2647</v>
      </c>
      <c r="C28">
        <v>2022</v>
      </c>
    </row>
    <row r="29" spans="1:3" x14ac:dyDescent="0.25">
      <c r="A29" t="s">
        <v>54</v>
      </c>
      <c r="B29">
        <v>17992</v>
      </c>
      <c r="C29">
        <v>2019</v>
      </c>
    </row>
    <row r="30" spans="1:3" x14ac:dyDescent="0.25">
      <c r="A30" t="s">
        <v>54</v>
      </c>
      <c r="B30">
        <v>54784</v>
      </c>
      <c r="C30">
        <v>2022</v>
      </c>
    </row>
    <row r="31" spans="1:3" x14ac:dyDescent="0.25">
      <c r="A31" t="s">
        <v>55</v>
      </c>
      <c r="B31">
        <v>186101</v>
      </c>
      <c r="C31">
        <v>2017</v>
      </c>
    </row>
    <row r="32" spans="1:3" x14ac:dyDescent="0.25">
      <c r="A32" t="s">
        <v>55</v>
      </c>
      <c r="B32">
        <v>51659</v>
      </c>
      <c r="C32">
        <v>2018</v>
      </c>
    </row>
    <row r="33" spans="1:3" x14ac:dyDescent="0.25">
      <c r="A33" t="s">
        <v>55</v>
      </c>
      <c r="B33">
        <v>105049</v>
      </c>
      <c r="C33">
        <v>2019</v>
      </c>
    </row>
    <row r="34" spans="1:3" x14ac:dyDescent="0.25">
      <c r="A34" t="s">
        <v>55</v>
      </c>
      <c r="B34">
        <v>76689</v>
      </c>
      <c r="C34">
        <v>2022</v>
      </c>
    </row>
    <row r="35" spans="1:3" x14ac:dyDescent="0.25">
      <c r="A35" s="4" t="s">
        <v>55</v>
      </c>
      <c r="B35" s="4">
        <v>35924</v>
      </c>
      <c r="C35" s="4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CAD6-69BE-4354-80B5-917820EB9556}">
  <dimension ref="A1"/>
  <sheetViews>
    <sheetView workbookViewId="0">
      <selection activeCell="A2" sqref="A2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Ahyoung Lim</dc:creator>
  <cp:lastModifiedBy>Ahyoung Lim</cp:lastModifiedBy>
  <dcterms:created xsi:type="dcterms:W3CDTF">2025-10-03T09:43:42Z</dcterms:created>
  <dcterms:modified xsi:type="dcterms:W3CDTF">2025-11-21T16:37:24Z</dcterms:modified>
</cp:coreProperties>
</file>